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Market" sheetId="3" state="visible" r:id="rId5"/>
    <sheet name="Revenue" sheetId="4" state="visible" r:id="rId6"/>
    <sheet name="UnitEcon" sheetId="5" state="visible" r:id="rId7"/>
    <sheet name="Comp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<sst xmlns="http://schemas.openxmlformats.org/spreadsheetml/2006/main" count="195" uniqueCount="159">
  <si>
    <t xml:space="preserve">Token Optimization Cloud — Business Model</t>
  </si>
  <si>
    <t xml:space="preserve">Companion to docs/TOKEN-OPTIMIZATION-BUSINESS-MODEL.md and the five-doc research series.</t>
  </si>
  <si>
    <t xml:space="preserve">Five-year (2026–2030) bottoms-up market sizing and revenue model for the outcome-verified</t>
  </si>
  <si>
    <t xml:space="preserve">token optimizer for coding-agent fleets (savings-share + Pro subscriptions + platform fees).</t>
  </si>
  <si>
    <t xml:space="preserve">TABS</t>
  </si>
  <si>
    <t xml:space="preserve">  Assumptions — every driver of the model. Edit these; everything else recalculates.</t>
  </si>
  <si>
    <t xml:space="preserve">  Market — TAM / SAM / SOM by year, built from the assumptions.</t>
  </si>
  <si>
    <t xml:space="preserve">  Revenue — three penetration scenarios (Conservative / Base / Aggressive) by revenue stream.</t>
  </si>
  <si>
    <t xml:space="preserve">  UnitEcon — gross margin and an illustrative enterprise-customer P&amp;L.</t>
  </si>
  <si>
    <t xml:space="preserve">  Comps — grounding data points and sources for every external number.</t>
  </si>
  <si>
    <t xml:space="preserve">LEGEND</t>
  </si>
  <si>
    <t xml:space="preserve">  Blue text = hardcoded input (edit me)     Black text = formula (leave alone)</t>
  </si>
  <si>
    <t xml:space="preserve">  Green text = link to another sheet         Yellow fill = key assumption / scenario lever</t>
  </si>
  <si>
    <t xml:space="preserve">All external figures are cited on the Comps tab. Assumption cells state their basis inline.</t>
  </si>
  <si>
    <t xml:space="preserve">Currency in nominal USD. Developer counts in millions (M); dollar pools in millions ($M)</t>
  </si>
  <si>
    <t xml:space="preserve">unless the row header says otherwise.</t>
  </si>
  <si>
    <t xml:space="preserve">Assumptions — all model drivers</t>
  </si>
  <si>
    <t xml:space="preserve">Blue = edit; yellow = key levers. Basis / source noted in column G.</t>
  </si>
  <si>
    <t xml:space="preserve">Per-year drivers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</si>
  <si>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</si>
  <si>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</si>
  <si>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</si>
  <si>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</si>
  <si>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</si>
  <si>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Professional developers worldwide (M)</t>
  </si>
  <si>
    <t xml:space="preserve">Industry estimates cluster ~30–35M in 2026 (SlashData/Evans-class), ~2M/yr net growth.</t>
  </si>
  <si>
    <t xml:space="preserve">% using agentic coding tools</t>
  </si>
  <si>
    <t xml:space="preserve">90% use some AI tool, 51% daily (2026 surveys, Comps tab); agentic (not autocomplete) share ramps toward daily-use share.</t>
  </si>
  <si>
    <t xml:space="preserve">Agentic-coding developers (M)</t>
  </si>
  <si>
    <t xml:space="preserve">Formula: devs x agentic %</t>
  </si>
  <si>
    <t xml:space="preserve">API-metered (enterprise) share of agentic devs</t>
  </si>
  <si>
    <t xml:space="preserve">Rest are on capped subscriptions ($20–200/mo). Enterprises shift to metered as usage scales (Uber/Microsoft cost episodes, Comps).</t>
  </si>
  <si>
    <t xml:space="preserve">API-metered devs (M)</t>
  </si>
  <si>
    <t xml:space="preserve">Formula: agentic x metered share</t>
  </si>
  <si>
    <t xml:space="preserve">Subscription-capped devs (M)</t>
  </si>
  <si>
    <t xml:space="preserve">Formula: agentic minus metered</t>
  </si>
  <si>
    <t xml:space="preserve">Avg monthly API spend per metered dev ($)</t>
  </si>
  <si>
    <t xml:space="preserve">Anthropic enterprise data: $150–250/dev/mo typical (2026). Net +~9%/yr: usage up sharply, unit prices down (Gartner).</t>
  </si>
  <si>
    <t xml:space="preserve">Single levers (apply to all years)</t>
  </si>
  <si>
    <t xml:space="preserve">Gateway-addressable share of metered API spend</t>
  </si>
  <si>
    <t xml:space="preserve">Feasibility doc §3.4: Claude Code + Codex API lanes fully addressable; Cursor agent-mode BYO-key partially; OAuth lanes excluded.</t>
  </si>
  <si>
    <t xml:space="preserve">Achievable verified savings rate (on addressable spend)</t>
  </si>
  <si>
    <t xml:space="preserve">CodexZero repeated bench: 15% lossless, score parity. Cache shaping adds upside (ProjectDiscovery cut 59–70%). 18% is conservative blended.</t>
  </si>
  <si>
    <t xml:space="preserve">Savings-share take rate</t>
  </si>
  <si>
    <t xml:space="preserve">FinOps comps: nOps ~15% of savings; Zesty 10–20%; Usage.ai % of delivered savings. 20% mid-range.</t>
  </si>
  <si>
    <t xml:space="preserve">Pro subscription price ($/mo)</t>
  </si>
  <si>
    <t xml:space="preserve">Under the noise floor of what it saves an individual (research doc §7.2).</t>
  </si>
  <si>
    <t xml:space="preserve">Pro attach ceiling (% of subscription-capped devs)</t>
  </si>
  <si>
    <t xml:space="preserve">SAM ceiling for individual conversion; developer-tool paid-attach norms low single digits to ~10%.</t>
  </si>
  <si>
    <t xml:space="preserve">Enterprise platform fee ($/dev/mo)</t>
  </si>
  <si>
    <t xml:space="preserve">SLA/SSO/dashboard seat floor alongside savings-share (two-track FinOps pricing pattern).</t>
  </si>
  <si>
    <t xml:space="preserve">% of enterprise (metered) devs on paid platform tier</t>
  </si>
  <si>
    <t xml:space="preserve">Share of covered enterprise seats that take the platform tier vs savings-share only.</t>
  </si>
  <si>
    <t xml:space="preserve">COGS as % of revenue</t>
  </si>
  <si>
    <t xml:space="preserve">Proxy compute, artifact storage, eval/shadow compute. Gateway COGS is small; evals dominate.</t>
  </si>
  <si>
    <t xml:space="preserve">Market sizing — TAM / SAM / SOM ($M unless noted)</t>
  </si>
  <si>
    <t xml:space="preserve">TAM</t>
  </si>
  <si>
    <t xml:space="preserve">Coding-agent API (metered) spend ($M/yr)</t>
  </si>
  <si>
    <t xml:space="preserve">Subscription-lane spend ($M/yr, at $35/mo blended)</t>
  </si>
  <si>
    <t xml:space="preserve">Total coding-agent spend TAM ($M/yr)</t>
  </si>
  <si>
    <t xml:space="preserve">SAM (our monetizable revenue pool)</t>
  </si>
  <si>
    <t xml:space="preserve">Addressable metered spend ($M/yr)</t>
  </si>
  <si>
    <t xml:space="preserve">Verified-savings pool created for customers ($M/yr)</t>
  </si>
  <si>
    <t xml:space="preserve">Savings-share revenue pool ($M/yr)</t>
  </si>
  <si>
    <t xml:space="preserve">Pro subscription revenue pool ($M/yr)</t>
  </si>
  <si>
    <t xml:space="preserve">Enterprise platform-fee revenue pool ($M/yr)</t>
  </si>
  <si>
    <t xml:space="preserve">Total SAM ($M/yr)</t>
  </si>
  <si>
    <t xml:space="preserve">SOM = scenario penetration x SAM — see Revenue tab</t>
  </si>
  <si>
    <t xml:space="preserve">Cross-check: metered TAM 2030 vs enterprise-LLM market forecasts ($5.9B 2025 -&gt; $91.5B 2036 at 28.3% CAGR;</t>
  </si>
  <si>
    <t xml:space="preserve">inference = 85% of enterprise AI budgets; coding agents are the largest agentic workload). See Comps tab.</t>
  </si>
  <si>
    <t xml:space="preserve">Revenue scenarios — SOM by stream ($M)</t>
  </si>
  <si>
    <t xml:space="preserve">Penetration = share of each SAM pool captured. Blue rows are scenario levers.</t>
  </si>
  <si>
    <t xml:space="preserve">Conservative</t>
  </si>
  <si>
    <t xml:space="preserve">Penetration of SAM</t>
  </si>
  <si>
    <t xml:space="preserve">Savings-share revenue</t>
  </si>
  <si>
    <t xml:space="preserve">Pro subscription revenue</t>
  </si>
  <si>
    <t xml:space="preserve">Enterprise platform fees</t>
  </si>
  <si>
    <t xml:space="preserve">Total revenue ($M)</t>
  </si>
  <si>
    <t xml:space="preserve">Customer savings delivered ($M)</t>
  </si>
  <si>
    <t xml:space="preserve">YoY growth</t>
  </si>
  <si>
    <t xml:space="preserve">n/a</t>
  </si>
  <si>
    <t xml:space="preserve">Base</t>
  </si>
  <si>
    <t xml:space="preserve">Aggressive</t>
  </si>
  <si>
    <t xml:space="preserve">Unit economics</t>
  </si>
  <si>
    <t xml:space="preserve">Company level (Base scenario, 2030)</t>
  </si>
  <si>
    <t xml:space="preserve">Revenue ($M)</t>
  </si>
  <si>
    <t xml:space="preserve">COGS ($M)</t>
  </si>
  <si>
    <t xml:space="preserve">Gross profit ($M)</t>
  </si>
  <si>
    <t xml:space="preserve">Gross margin</t>
  </si>
  <si>
    <t xml:space="preserve">Illustrative enterprise customer (annual)</t>
  </si>
  <si>
    <t xml:space="preserve">Developers on metered API</t>
  </si>
  <si>
    <t xml:space="preserve">Mid-size enterprise engineering org.</t>
  </si>
  <si>
    <t xml:space="preserve">Monthly API spend per dev ($)</t>
  </si>
  <si>
    <t xml:space="preserve">Within Anthropic's observed $150–250 band.</t>
  </si>
  <si>
    <t xml:space="preserve">Annual coding-agent API spend ($)</t>
  </si>
  <si>
    <t xml:space="preserve">Addressable spend ($)</t>
  </si>
  <si>
    <t xml:space="preserve">Verified savings delivered ($)</t>
  </si>
  <si>
    <t xml:space="preserve">Savings-share revenue ($)</t>
  </si>
  <si>
    <t xml:space="preserve">Platform fees ($)</t>
  </si>
  <si>
    <t xml:space="preserve">Total ACV ($)</t>
  </si>
  <si>
    <t xml:space="preserve">Customer net saving after our fees ($)</t>
  </si>
  <si>
    <t xml:space="preserve">Savings minus savings-share (platform fee buys SLA/SSO/dashboards, shown separately).</t>
  </si>
  <si>
    <t xml:space="preserve">Customers implied (Base 2030): revenue / ACV</t>
  </si>
  <si>
    <t xml:space="preserve">PLG motion: pip-install wedge -&gt; Pro -&gt; team workspace -&gt; enterprise (research doc §7.1–7.2). CAC is dominated by content + community, not sales, until enterprise stage.</t>
  </si>
  <si>
    <t xml:space="preserve">Grounding data and comparables (all figures as reported by cited sources)</t>
  </si>
  <si>
    <t xml:space="preserve">Data point</t>
  </si>
  <si>
    <t xml:space="preserve">Figure</t>
  </si>
  <si>
    <t xml:space="preserve">Source</t>
  </si>
  <si>
    <t xml:space="preserve">Enterprise LLM market, 2025 -&gt; 2036</t>
  </si>
  <si>
    <t xml:space="preserve">$5.9B -&gt; $91.5B (28.3% CAGR)</t>
  </si>
  <si>
    <t xml:space="preserve">Future Market Insights, enterprise LLM market report</t>
  </si>
  <si>
    <t xml:space="preserve">Inference share of enterprise AI budgets, 2026</t>
  </si>
  <si>
    <t xml:space="preserve">~85%; 2nd-largest line item after talent</t>
  </si>
  <si>
    <t xml:space="preserve">NeuralWired / Gartner 2026 coverage</t>
  </si>
  <si>
    <t xml:space="preserve">Avg enterprise monthly AI spend, 2025</t>
  </si>
  <si>
    <t xml:space="preserve">$85,521 (+36% YoY)</t>
  </si>
  <si>
    <t xml:space="preserve">Tokonomics LLM cost management guide 2026</t>
  </si>
  <si>
    <t xml:space="preserve">Per-developer AI consumption growth</t>
  </si>
  <si>
    <t xml:space="preserve">~18.6x in 9 months (agentic tools)</t>
  </si>
  <si>
    <t xml:space="preserve">getdx.com AI assistant pricing/ROI guide 2026</t>
  </si>
  <si>
    <t xml:space="preserve">Per-employee AI spend, 2026 (anticipated)</t>
  </si>
  <si>
    <t xml:space="preserve">~$2,068</t>
  </si>
  <si>
    <t xml:space="preserve">Atlanta Fed via greyjournal.net 2026</t>
  </si>
  <si>
    <t xml:space="preserve">Claude Code enterprise cost per dev</t>
  </si>
  <si>
    <t xml:space="preserve">$150–250/mo typical; power users $500–2,000</t>
  </si>
  <si>
    <t xml:space="preserve">Anthropic enterprise data via morphllm.com 2026</t>
  </si>
  <si>
    <t xml:space="preserve">Tokens per agentic task</t>
  </si>
  <si>
    <t xml:space="preserve">400k–2M; agentic = 5–30x chatbot tokens</t>
  </si>
  <si>
    <t xml:space="preserve">morphllm.com; oplexa.com inference cost 2026</t>
  </si>
  <si>
    <t xml:space="preserve">Cost-pressure episodes</t>
  </si>
  <si>
    <t xml:space="preserve">Uber exhausted annual AI coding budget by Aug 2026; Microsoft curtailed internal Claude Code</t>
  </si>
  <si>
    <t xml:space="preserve">oplexa.com / NeuralWired 2026</t>
  </si>
  <si>
    <t xml:space="preserve">Developer AI adoption</t>
  </si>
  <si>
    <t xml:space="preserve">90% use AI at work; 51% daily; Copilot 20M+ users; Claude Code used by 63% of teams</t>
  </si>
  <si>
    <t xml:space="preserve">JetBrains 2026 survey; digitalapplied.com; axis-intelligence.com</t>
  </si>
  <si>
    <t xml:space="preserve">Proven lossless savings (one agent, local)</t>
  </si>
  <si>
    <t xml:space="preserve">15% fewer tokens, identical 29/36 score</t>
  </si>
  <si>
    <t xml:space="preserve">Retro2512/CodexZero terminal-bench replication</t>
  </si>
  <si>
    <t xml:space="preserve">Proven cache-shaping savings</t>
  </si>
  <si>
    <t xml:space="preserve">7% -&gt; 84% cache hit rate; 59–70% total spend cut</t>
  </si>
  <si>
    <t xml:space="preserve">ProjectDiscovery case via ofox.ai 2026</t>
  </si>
  <si>
    <t xml:space="preserve">Provider cache discounts</t>
  </si>
  <si>
    <t xml:space="preserve">Anthropic 90% off cached reads; OpenAI 50%</t>
  </si>
  <si>
    <t xml:space="preserve">Provider docs (platform.claude.com; OpenAI)</t>
  </si>
  <si>
    <t xml:space="preserve">GPT-5 line API price change, Apr 2026</t>
  </si>
  <si>
    <t xml:space="preserve">Input $2.50 -&gt; $5.00; output $15 -&gt; $30 /M</t>
  </si>
  <si>
    <t xml:space="preserve">spectrumailab.com pricing comparison 2026</t>
  </si>
  <si>
    <t xml:space="preserve">Savings-share take-rate comps (FinOps)</t>
  </si>
  <si>
    <t xml:space="preserve">nOps ~15% of savings; Zesty 10–20%; Usage.ai % of delivered</t>
  </si>
  <si>
    <t xml:space="preserve">usage.ai / cloudchipr.com tool guides 2026</t>
  </si>
  <si>
    <t xml:space="preserve">Cloud FinOps market, 2025 -&gt; 2030</t>
  </si>
  <si>
    <t xml:space="preserve">$14.9B -&gt; $26.9B (12.6% CAGR)</t>
  </si>
  <si>
    <t xml:space="preserve">MarketsandMarkets cloud FinOps report</t>
  </si>
  <si>
    <t xml:space="preserve">FinOps exits</t>
  </si>
  <si>
    <t xml:space="preserve">CloudHealth -&gt; VMware ~$500M (2018); Apptio -&gt; IBM $4.6B (2023); Cloudability managed $9B spend / 250 customers</t>
  </si>
  <si>
    <t xml:space="preserve">Boston Globe; TechCrunch; Crunchbase News</t>
  </si>
  <si>
    <t xml:space="preserve">Gateway market structure, 2026</t>
  </si>
  <si>
    <t xml:space="preserve">Per-token markups raced to zero across major gateways</t>
  </si>
  <si>
    <t xml:space="preserve">klymentiev.com gateway guide 2026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</si>
</sst>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"/>
    <numFmt numFmtId="166" formatCode="0.0%"/>
    <numFmt numFmtId="167" formatCode="\$#,##0"/>
    <numFmt numFmtId="168" formatCode="\$#,##0.0"/>
    <numFmt numFmtId="169" formatCode="0.00%"/>
    <numFmt numFmtId="170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3"/>
    <col collapsed="false" customWidth="true" hidden="false" outlineLevel="0" max="7" min="7" style="0" width="78"/>
  </cols>
  <sheetData>
    <row r="1" customFormat="false" ht="16.15" hidden="false" customHeight="false" outlineLevel="0" collapsed="false">
      <c r="A1" s="1" t="s">
        <v>16</v>
      </c>
    </row>
    <row r="2" customFormat="false" ht="15" hidden="false" customHeight="false" outlineLevel="0" collapsed="false">
      <c r="A2" s="4" t="s">
        <v>17</v>
      </c>
    </row>
    <row r="4" customFormat="false" ht="15" hidden="false" customHeight="false" outlineLevel="0" collapsed="false">
      <c r="A4" s="5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</row>
    <row r="5" customFormat="false" ht="15" hidden="false" customHeight="false" outlineLevel="0" collapsed="false">
      <c r="A5" s="3" t="s">
        <v>24</v>
      </c>
      <c r="B5" s="6" t="n">
        <v>32</v>
      </c>
      <c r="C5" s="6" t="n">
        <v>34</v>
      </c>
      <c r="D5" s="6" t="n">
        <v>36</v>
      </c>
      <c r="E5" s="6" t="n">
        <v>38</v>
      </c>
      <c r="F5" s="6" t="n">
        <v>40</v>
      </c>
      <c r="G5" s="4" t="s">
        <v>25</v>
      </c>
    </row>
    <row r="6" customFormat="false" ht="15" hidden="false" customHeight="false" outlineLevel="0" collapsed="false">
      <c r="A6" s="3" t="s">
        <v>26</v>
      </c>
      <c r="B6" s="7" t="n">
        <v>0.3</v>
      </c>
      <c r="C6" s="7" t="n">
        <v>0.42</v>
      </c>
      <c r="D6" s="7" t="n">
        <v>0.54</v>
      </c>
      <c r="E6" s="7" t="n">
        <v>0.63</v>
      </c>
      <c r="F6" s="7" t="n">
        <v>0.7</v>
      </c>
      <c r="G6" s="4" t="s">
        <v>27</v>
      </c>
    </row>
    <row r="7" customFormat="false" ht="15" hidden="false" customHeight="false" outlineLevel="0" collapsed="false">
      <c r="A7" s="2" t="s">
        <v>28</v>
      </c>
      <c r="B7" s="8" t="n">
        <f aca="false">B5*B6</f>
        <v>9.6</v>
      </c>
      <c r="C7" s="8" t="n">
        <f aca="false">C5*C6</f>
        <v>14.28</v>
      </c>
      <c r="D7" s="8" t="n">
        <f aca="false">D5*D6</f>
        <v>19.44</v>
      </c>
      <c r="E7" s="8" t="n">
        <f aca="false">E5*E6</f>
        <v>23.94</v>
      </c>
      <c r="F7" s="8" t="n">
        <f aca="false">F5*F6</f>
        <v>28</v>
      </c>
      <c r="G7" s="4" t="s">
        <v>29</v>
      </c>
    </row>
    <row r="8" customFormat="false" ht="15" hidden="false" customHeight="false" outlineLevel="0" collapsed="false">
      <c r="A8" s="3" t="s">
        <v>30</v>
      </c>
      <c r="B8" s="7" t="n">
        <v>0.25</v>
      </c>
      <c r="C8" s="7" t="n">
        <v>0.3</v>
      </c>
      <c r="D8" s="7" t="n">
        <v>0.35</v>
      </c>
      <c r="E8" s="7" t="n">
        <v>0.4</v>
      </c>
      <c r="F8" s="7" t="n">
        <v>0.45</v>
      </c>
      <c r="G8" s="4" t="s">
        <v>31</v>
      </c>
    </row>
    <row r="9" customFormat="false" ht="15" hidden="false" customHeight="false" outlineLevel="0" collapsed="false">
      <c r="A9" s="2" t="s">
        <v>32</v>
      </c>
      <c r="B9" s="8" t="n">
        <f aca="false">B7*B8</f>
        <v>2.4</v>
      </c>
      <c r="C9" s="8" t="n">
        <f aca="false">C7*C8</f>
        <v>4.284</v>
      </c>
      <c r="D9" s="8" t="n">
        <f aca="false">D7*D8</f>
        <v>6.804</v>
      </c>
      <c r="E9" s="8" t="n">
        <f aca="false">E7*E8</f>
        <v>9.576</v>
      </c>
      <c r="F9" s="8" t="n">
        <f aca="false">F7*F8</f>
        <v>12.6</v>
      </c>
      <c r="G9" s="4" t="s">
        <v>33</v>
      </c>
    </row>
    <row r="10" customFormat="false" ht="15" hidden="false" customHeight="false" outlineLevel="0" collapsed="false">
      <c r="A10" s="2" t="s">
        <v>34</v>
      </c>
      <c r="B10" s="8" t="n">
        <f aca="false">B7-B9</f>
        <v>7.2</v>
      </c>
      <c r="C10" s="8" t="n">
        <f aca="false">C7-C9</f>
        <v>9.996</v>
      </c>
      <c r="D10" s="8" t="n">
        <f aca="false">D7-D9</f>
        <v>12.636</v>
      </c>
      <c r="E10" s="8" t="n">
        <f aca="false">E7-E9</f>
        <v>14.364</v>
      </c>
      <c r="F10" s="8" t="n">
        <f aca="false">F7-F9</f>
        <v>15.4</v>
      </c>
      <c r="G10" s="4" t="s">
        <v>35</v>
      </c>
    </row>
    <row r="11" customFormat="false" ht="15" hidden="false" customHeight="false" outlineLevel="0" collapsed="false">
      <c r="A11" s="3" t="s">
        <v>36</v>
      </c>
      <c r="B11" s="9" t="n">
        <v>150</v>
      </c>
      <c r="C11" s="9" t="n">
        <v>165</v>
      </c>
      <c r="D11" s="9" t="n">
        <v>180</v>
      </c>
      <c r="E11" s="9" t="n">
        <v>195</v>
      </c>
      <c r="F11" s="9" t="n">
        <v>210</v>
      </c>
      <c r="G11" s="4" t="s">
        <v>37</v>
      </c>
    </row>
    <row r="13" customFormat="false" ht="15" hidden="false" customHeight="false" outlineLevel="0" collapsed="false">
      <c r="A13" s="5" t="s">
        <v>38</v>
      </c>
    </row>
    <row r="14" customFormat="false" ht="15" hidden="false" customHeight="false" outlineLevel="0" collapsed="false">
      <c r="A14" s="3" t="s">
        <v>39</v>
      </c>
      <c r="B14" s="10" t="n">
        <v>0.65</v>
      </c>
      <c r="G14" s="4" t="s">
        <v>40</v>
      </c>
    </row>
    <row r="15" customFormat="false" ht="15" hidden="false" customHeight="false" outlineLevel="0" collapsed="false">
      <c r="A15" s="3" t="s">
        <v>41</v>
      </c>
      <c r="B15" s="10" t="n">
        <v>0.18</v>
      </c>
      <c r="G15" s="4" t="s">
        <v>42</v>
      </c>
    </row>
    <row r="16" customFormat="false" ht="15" hidden="false" customHeight="false" outlineLevel="0" collapsed="false">
      <c r="A16" s="3" t="s">
        <v>43</v>
      </c>
      <c r="B16" s="10" t="n">
        <v>0.2</v>
      </c>
      <c r="G16" s="4" t="s">
        <v>44</v>
      </c>
    </row>
    <row r="17" customFormat="false" ht="15" hidden="false" customHeight="false" outlineLevel="0" collapsed="false">
      <c r="A17" s="3" t="s">
        <v>45</v>
      </c>
      <c r="B17" s="11" t="n">
        <v>15</v>
      </c>
      <c r="G17" s="4" t="s">
        <v>46</v>
      </c>
    </row>
    <row r="18" customFormat="false" ht="15" hidden="false" customHeight="false" outlineLevel="0" collapsed="false">
      <c r="A18" s="3" t="s">
        <v>47</v>
      </c>
      <c r="B18" s="10" t="n">
        <v>0.08</v>
      </c>
      <c r="G18" s="4" t="s">
        <v>48</v>
      </c>
    </row>
    <row r="19" customFormat="false" ht="15" hidden="false" customHeight="false" outlineLevel="0" collapsed="false">
      <c r="A19" s="3" t="s">
        <v>49</v>
      </c>
      <c r="B19" s="11" t="n">
        <v>10</v>
      </c>
      <c r="G19" s="4" t="s">
        <v>50</v>
      </c>
    </row>
    <row r="20" customFormat="false" ht="15" hidden="false" customHeight="false" outlineLevel="0" collapsed="false">
      <c r="A20" s="3" t="s">
        <v>51</v>
      </c>
      <c r="B20" s="10" t="n">
        <v>0.6</v>
      </c>
      <c r="G20" s="4" t="s">
        <v>52</v>
      </c>
    </row>
    <row r="21" customFormat="false" ht="15" hidden="false" customHeight="false" outlineLevel="0" collapsed="false">
      <c r="A21" s="3" t="s">
        <v>53</v>
      </c>
      <c r="B21" s="10" t="n">
        <v>0.15</v>
      </c>
      <c r="G21" s="4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6" min="2" style="0" width="14"/>
  </cols>
  <sheetData>
    <row r="1" customFormat="false" ht="16.15" hidden="false" customHeight="false" outlineLevel="0" collapsed="false">
      <c r="A1" s="1" t="s">
        <v>55</v>
      </c>
    </row>
    <row r="3" customFormat="false" ht="15" hidden="false" customHeight="false" outlineLevel="0" collapsed="false"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</row>
    <row r="4" customFormat="false" ht="15" hidden="false" customHeight="false" outlineLevel="0" collapsed="false">
      <c r="A4" s="5" t="s">
        <v>56</v>
      </c>
    </row>
    <row r="5" customFormat="false" ht="15" hidden="false" customHeight="false" outlineLevel="0" collapsed="false">
      <c r="A5" s="3" t="s">
        <v>57</v>
      </c>
      <c r="B5" s="12" t="n">
        <f aca="false">Assumptions!B9*Assumptions!B11*12</f>
        <v>4320</v>
      </c>
      <c r="C5" s="12" t="n">
        <f aca="false">Assumptions!C9*Assumptions!C11*12</f>
        <v>8482.32</v>
      </c>
      <c r="D5" s="12" t="n">
        <f aca="false">Assumptions!D9*Assumptions!D11*12</f>
        <v>14696.64</v>
      </c>
      <c r="E5" s="12" t="n">
        <f aca="false">Assumptions!E9*Assumptions!E11*12</f>
        <v>22407.84</v>
      </c>
      <c r="F5" s="12" t="n">
        <f aca="false">Assumptions!F9*Assumptions!F11*12</f>
        <v>31752</v>
      </c>
    </row>
    <row r="6" customFormat="false" ht="15" hidden="false" customHeight="false" outlineLevel="0" collapsed="false">
      <c r="A6" s="3" t="s">
        <v>58</v>
      </c>
      <c r="B6" s="12" t="n">
        <f aca="false">Assumptions!B10*35*12</f>
        <v>3024</v>
      </c>
      <c r="C6" s="12" t="n">
        <f aca="false">Assumptions!C10*35*12</f>
        <v>4198.32</v>
      </c>
      <c r="D6" s="12" t="n">
        <f aca="false">Assumptions!D10*35*12</f>
        <v>5307.12</v>
      </c>
      <c r="E6" s="12" t="n">
        <f aca="false">Assumptions!E10*35*12</f>
        <v>6032.88</v>
      </c>
      <c r="F6" s="12" t="n">
        <f aca="false">Assumptions!F10*35*12</f>
        <v>6468</v>
      </c>
    </row>
    <row r="7" customFormat="false" ht="15" hidden="false" customHeight="false" outlineLevel="0" collapsed="false">
      <c r="A7" s="3" t="s">
        <v>59</v>
      </c>
      <c r="B7" s="13" t="n">
        <f aca="false">B5+B6</f>
        <v>7344</v>
      </c>
      <c r="C7" s="13" t="n">
        <f aca="false">C5+C6</f>
        <v>12680.64</v>
      </c>
      <c r="D7" s="13" t="n">
        <f aca="false">D5+D6</f>
        <v>20003.76</v>
      </c>
      <c r="E7" s="13" t="n">
        <f aca="false">E5+E6</f>
        <v>28440.72</v>
      </c>
      <c r="F7" s="13" t="n">
        <f aca="false">F5+F6</f>
        <v>38220</v>
      </c>
    </row>
    <row r="9" customFormat="false" ht="15" hidden="false" customHeight="false" outlineLevel="0" collapsed="false">
      <c r="A9" s="5" t="s">
        <v>60</v>
      </c>
    </row>
    <row r="10" customFormat="false" ht="15" hidden="false" customHeight="false" outlineLevel="0" collapsed="false">
      <c r="A10" s="3" t="s">
        <v>61</v>
      </c>
      <c r="B10" s="12" t="n">
        <f aca="false">B5*Assumptions!$B$14</f>
        <v>2808</v>
      </c>
      <c r="C10" s="12" t="n">
        <f aca="false">C5*Assumptions!$B$14</f>
        <v>5513.508</v>
      </c>
      <c r="D10" s="12" t="n">
        <f aca="false">D5*Assumptions!$B$14</f>
        <v>9552.816</v>
      </c>
      <c r="E10" s="12" t="n">
        <f aca="false">E5*Assumptions!$B$14</f>
        <v>14565.096</v>
      </c>
      <c r="F10" s="12" t="n">
        <f aca="false">F5*Assumptions!$B$14</f>
        <v>20638.8</v>
      </c>
    </row>
    <row r="11" customFormat="false" ht="15" hidden="false" customHeight="false" outlineLevel="0" collapsed="false">
      <c r="A11" s="3" t="s">
        <v>62</v>
      </c>
      <c r="B11" s="12" t="n">
        <f aca="false">B10*Assumptions!$B$15</f>
        <v>505.44</v>
      </c>
      <c r="C11" s="12" t="n">
        <f aca="false">C10*Assumptions!$B$15</f>
        <v>992.43144</v>
      </c>
      <c r="D11" s="12" t="n">
        <f aca="false">D10*Assumptions!$B$15</f>
        <v>1719.50688</v>
      </c>
      <c r="E11" s="12" t="n">
        <f aca="false">E10*Assumptions!$B$15</f>
        <v>2621.71728</v>
      </c>
      <c r="F11" s="12" t="n">
        <f aca="false">F10*Assumptions!$B$15</f>
        <v>3714.984</v>
      </c>
    </row>
    <row r="12" customFormat="false" ht="15" hidden="false" customHeight="false" outlineLevel="0" collapsed="false">
      <c r="A12" s="3" t="s">
        <v>63</v>
      </c>
      <c r="B12" s="12" t="n">
        <f aca="false">B11*Assumptions!$B$16</f>
        <v>101.088</v>
      </c>
      <c r="C12" s="12" t="n">
        <f aca="false">C11*Assumptions!$B$16</f>
        <v>198.486288</v>
      </c>
      <c r="D12" s="12" t="n">
        <f aca="false">D11*Assumptions!$B$16</f>
        <v>343.901376</v>
      </c>
      <c r="E12" s="12" t="n">
        <f aca="false">E11*Assumptions!$B$16</f>
        <v>524.343456</v>
      </c>
      <c r="F12" s="12" t="n">
        <f aca="false">F11*Assumptions!$B$16</f>
        <v>742.9968</v>
      </c>
    </row>
    <row r="13" customFormat="false" ht="15" hidden="false" customHeight="false" outlineLevel="0" collapsed="false">
      <c r="A13" s="3" t="s">
        <v>64</v>
      </c>
      <c r="B13" s="12" t="n">
        <f aca="false">Assumptions!B10*Assumptions!$B$18*Assumptions!$B$17*12</f>
        <v>103.68</v>
      </c>
      <c r="C13" s="12" t="n">
        <f aca="false">Assumptions!C10*Assumptions!$B$18*Assumptions!$B$17*12</f>
        <v>143.9424</v>
      </c>
      <c r="D13" s="12" t="n">
        <f aca="false">Assumptions!D10*Assumptions!$B$18*Assumptions!$B$17*12</f>
        <v>181.9584</v>
      </c>
      <c r="E13" s="12" t="n">
        <f aca="false">Assumptions!E10*Assumptions!$B$18*Assumptions!$B$17*12</f>
        <v>206.8416</v>
      </c>
      <c r="F13" s="12" t="n">
        <f aca="false">Assumptions!F10*Assumptions!$B$18*Assumptions!$B$17*12</f>
        <v>221.76</v>
      </c>
    </row>
    <row r="14" customFormat="false" ht="15" hidden="false" customHeight="false" outlineLevel="0" collapsed="false">
      <c r="A14" s="3" t="s">
        <v>65</v>
      </c>
      <c r="B14" s="12" t="n">
        <f aca="false">Assumptions!B9*Assumptions!$B$19*12*Assumptions!$B$20</f>
        <v>172.8</v>
      </c>
      <c r="C14" s="12" t="n">
        <f aca="false">Assumptions!C9*Assumptions!$B$19*12*Assumptions!$B$20</f>
        <v>308.448</v>
      </c>
      <c r="D14" s="12" t="n">
        <f aca="false">Assumptions!D9*Assumptions!$B$19*12*Assumptions!$B$20</f>
        <v>489.888</v>
      </c>
      <c r="E14" s="12" t="n">
        <f aca="false">Assumptions!E9*Assumptions!$B$19*12*Assumptions!$B$20</f>
        <v>689.472</v>
      </c>
      <c r="F14" s="12" t="n">
        <f aca="false">Assumptions!F9*Assumptions!$B$19*12*Assumptions!$B$20</f>
        <v>907.2</v>
      </c>
    </row>
    <row r="15" customFormat="false" ht="15" hidden="false" customHeight="false" outlineLevel="0" collapsed="false">
      <c r="A15" s="3" t="s">
        <v>66</v>
      </c>
      <c r="B15" s="13" t="n">
        <f aca="false">B12+B13+B14</f>
        <v>377.568</v>
      </c>
      <c r="C15" s="13" t="n">
        <f aca="false">C12+C13+C14</f>
        <v>650.876688</v>
      </c>
      <c r="D15" s="13" t="n">
        <f aca="false">D12+D13+D14</f>
        <v>1015.747776</v>
      </c>
      <c r="E15" s="13" t="n">
        <f aca="false">E12+E13+E14</f>
        <v>1420.657056</v>
      </c>
      <c r="F15" s="13" t="n">
        <f aca="false">F12+F13+F14</f>
        <v>1871.9568</v>
      </c>
    </row>
    <row r="17" customFormat="false" ht="15" hidden="false" customHeight="false" outlineLevel="0" collapsed="false">
      <c r="A17" s="5" t="s">
        <v>67</v>
      </c>
    </row>
    <row r="19" customFormat="false" ht="15" hidden="false" customHeight="false" outlineLevel="0" collapsed="false">
      <c r="A19" s="4" t="s">
        <v>68</v>
      </c>
    </row>
    <row r="20" customFormat="false" ht="15" hidden="false" customHeight="false" outlineLevel="0" collapsed="false">
      <c r="A20" s="4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6" min="2" style="0" width="14"/>
  </cols>
  <sheetData>
    <row r="1" customFormat="false" ht="16.15" hidden="false" customHeight="false" outlineLevel="0" collapsed="false">
      <c r="A1" s="1" t="s">
        <v>70</v>
      </c>
    </row>
    <row r="2" customFormat="false" ht="15" hidden="false" customHeight="false" outlineLevel="0" collapsed="false">
      <c r="A2" s="4" t="s">
        <v>71</v>
      </c>
    </row>
    <row r="4" customFormat="false" ht="15" hidden="false" customHeight="false" outlineLevel="0" collapsed="false">
      <c r="A4" s="14" t="s">
        <v>72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</row>
    <row r="5" customFormat="false" ht="15" hidden="false" customHeight="false" outlineLevel="0" collapsed="false">
      <c r="A5" s="3" t="s">
        <v>73</v>
      </c>
      <c r="B5" s="15" t="n">
        <v>0.001</v>
      </c>
      <c r="C5" s="15" t="n">
        <v>0.0025</v>
      </c>
      <c r="D5" s="15" t="n">
        <v>0.005</v>
      </c>
      <c r="E5" s="15" t="n">
        <v>0.0075</v>
      </c>
      <c r="F5" s="15" t="n">
        <v>0.01</v>
      </c>
    </row>
    <row r="6" customFormat="false" ht="15" hidden="false" customHeight="false" outlineLevel="0" collapsed="false">
      <c r="A6" s="2" t="s">
        <v>74</v>
      </c>
      <c r="B6" s="12" t="n">
        <f aca="false">Market!B12*B5</f>
        <v>0.101088</v>
      </c>
      <c r="C6" s="12" t="n">
        <f aca="false">Market!C12*C5</f>
        <v>0.49621572</v>
      </c>
      <c r="D6" s="12" t="n">
        <f aca="false">Market!D12*D5</f>
        <v>1.71950688</v>
      </c>
      <c r="E6" s="12" t="n">
        <f aca="false">Market!E12*E5</f>
        <v>3.93257592</v>
      </c>
      <c r="F6" s="12" t="n">
        <f aca="false">Market!F12*F5</f>
        <v>7.429968</v>
      </c>
    </row>
    <row r="7" customFormat="false" ht="15" hidden="false" customHeight="false" outlineLevel="0" collapsed="false">
      <c r="A7" s="2" t="s">
        <v>75</v>
      </c>
      <c r="B7" s="12" t="n">
        <f aca="false">Market!B13*B5</f>
        <v>0.10368</v>
      </c>
      <c r="C7" s="12" t="n">
        <f aca="false">Market!C13*C5</f>
        <v>0.359856</v>
      </c>
      <c r="D7" s="12" t="n">
        <f aca="false">Market!D13*D5</f>
        <v>0.909792</v>
      </c>
      <c r="E7" s="12" t="n">
        <f aca="false">Market!E13*E5</f>
        <v>1.551312</v>
      </c>
      <c r="F7" s="12" t="n">
        <f aca="false">Market!F13*F5</f>
        <v>2.2176</v>
      </c>
    </row>
    <row r="8" customFormat="false" ht="15" hidden="false" customHeight="false" outlineLevel="0" collapsed="false">
      <c r="A8" s="2" t="s">
        <v>76</v>
      </c>
      <c r="B8" s="12" t="n">
        <f aca="false">Market!B14*B5</f>
        <v>0.1728</v>
      </c>
      <c r="C8" s="12" t="n">
        <f aca="false">Market!C14*C5</f>
        <v>0.77112</v>
      </c>
      <c r="D8" s="12" t="n">
        <f aca="false">Market!D14*D5</f>
        <v>2.44944</v>
      </c>
      <c r="E8" s="12" t="n">
        <f aca="false">Market!E14*E5</f>
        <v>5.17104</v>
      </c>
      <c r="F8" s="12" t="n">
        <f aca="false">Market!F14*F5</f>
        <v>9.072</v>
      </c>
    </row>
    <row r="9" customFormat="false" ht="15" hidden="false" customHeight="false" outlineLevel="0" collapsed="false">
      <c r="A9" s="3" t="s">
        <v>77</v>
      </c>
      <c r="B9" s="16" t="n">
        <f aca="false">SUM(B6:B8)</f>
        <v>0.377568</v>
      </c>
      <c r="C9" s="16" t="n">
        <f aca="false">SUM(C6:C8)</f>
        <v>1.62719172</v>
      </c>
      <c r="D9" s="16" t="n">
        <f aca="false">SUM(D6:D8)</f>
        <v>5.07873888</v>
      </c>
      <c r="E9" s="16" t="n">
        <f aca="false">SUM(E6:E8)</f>
        <v>10.65492792</v>
      </c>
      <c r="F9" s="16" t="n">
        <f aca="false">SUM(F6:F8)</f>
        <v>18.719568</v>
      </c>
    </row>
    <row r="10" customFormat="false" ht="15" hidden="false" customHeight="false" outlineLevel="0" collapsed="false">
      <c r="A10" s="2" t="s">
        <v>78</v>
      </c>
      <c r="B10" s="12" t="n">
        <f aca="false">Market!B11*B5</f>
        <v>0.50544</v>
      </c>
      <c r="C10" s="12" t="n">
        <f aca="false">Market!C11*C5</f>
        <v>2.4810786</v>
      </c>
      <c r="D10" s="12" t="n">
        <f aca="false">Market!D11*D5</f>
        <v>8.5975344</v>
      </c>
      <c r="E10" s="12" t="n">
        <f aca="false">Market!E11*E5</f>
        <v>19.6628796</v>
      </c>
      <c r="F10" s="12" t="n">
        <f aca="false">Market!F11*F5</f>
        <v>37.14984</v>
      </c>
    </row>
    <row r="11" customFormat="false" ht="15" hidden="false" customHeight="false" outlineLevel="0" collapsed="false">
      <c r="A11" s="2" t="s">
        <v>79</v>
      </c>
      <c r="B11" s="2" t="s">
        <v>80</v>
      </c>
      <c r="C11" s="17" t="n">
        <f aca="false">IF(B9=0,0,C9/B9-1)</f>
        <v>3.30966533180778</v>
      </c>
      <c r="D11" s="17" t="n">
        <f aca="false">IF(C9=0,0,D9/C9-1)</f>
        <v>2.12116809443942</v>
      </c>
      <c r="E11" s="17" t="n">
        <f aca="false">IF(D9=0,0,E9/D9-1)</f>
        <v>1.09794757552095</v>
      </c>
      <c r="F11" s="17" t="n">
        <f aca="false">IF(E9=0,0,F9/E9-1)</f>
        <v>0.756892973894468</v>
      </c>
    </row>
    <row r="13" customFormat="false" ht="15" hidden="false" customHeight="false" outlineLevel="0" collapsed="false">
      <c r="A13" s="14" t="s">
        <v>81</v>
      </c>
      <c r="B13" s="3" t="s">
        <v>19</v>
      </c>
      <c r="C13" s="3" t="s">
        <v>20</v>
      </c>
      <c r="D13" s="3" t="s">
        <v>21</v>
      </c>
      <c r="E13" s="3" t="s">
        <v>22</v>
      </c>
      <c r="F13" s="3" t="s">
        <v>23</v>
      </c>
    </row>
    <row r="14" customFormat="false" ht="15" hidden="false" customHeight="false" outlineLevel="0" collapsed="false">
      <c r="A14" s="3" t="s">
        <v>73</v>
      </c>
      <c r="B14" s="15" t="n">
        <v>0.003</v>
      </c>
      <c r="C14" s="15" t="n">
        <v>0.008</v>
      </c>
      <c r="D14" s="15" t="n">
        <v>0.015</v>
      </c>
      <c r="E14" s="15" t="n">
        <v>0.022</v>
      </c>
      <c r="F14" s="15" t="n">
        <v>0.03</v>
      </c>
    </row>
    <row r="15" customFormat="false" ht="15" hidden="false" customHeight="false" outlineLevel="0" collapsed="false">
      <c r="A15" s="2" t="s">
        <v>74</v>
      </c>
      <c r="B15" s="12" t="n">
        <f aca="false">Market!B12*B14</f>
        <v>0.303264</v>
      </c>
      <c r="C15" s="12" t="n">
        <f aca="false">Market!C12*C14</f>
        <v>1.587890304</v>
      </c>
      <c r="D15" s="12" t="n">
        <f aca="false">Market!D12*D14</f>
        <v>5.15852064</v>
      </c>
      <c r="E15" s="12" t="n">
        <f aca="false">Market!E12*E14</f>
        <v>11.535556032</v>
      </c>
      <c r="F15" s="12" t="n">
        <f aca="false">Market!F12*F14</f>
        <v>22.289904</v>
      </c>
    </row>
    <row r="16" customFormat="false" ht="15" hidden="false" customHeight="false" outlineLevel="0" collapsed="false">
      <c r="A16" s="2" t="s">
        <v>75</v>
      </c>
      <c r="B16" s="12" t="n">
        <f aca="false">Market!B13*B14</f>
        <v>0.31104</v>
      </c>
      <c r="C16" s="12" t="n">
        <f aca="false">Market!C13*C14</f>
        <v>1.1515392</v>
      </c>
      <c r="D16" s="12" t="n">
        <f aca="false">Market!D13*D14</f>
        <v>2.729376</v>
      </c>
      <c r="E16" s="12" t="n">
        <f aca="false">Market!E13*E14</f>
        <v>4.5505152</v>
      </c>
      <c r="F16" s="12" t="n">
        <f aca="false">Market!F13*F14</f>
        <v>6.6528</v>
      </c>
    </row>
    <row r="17" customFormat="false" ht="15" hidden="false" customHeight="false" outlineLevel="0" collapsed="false">
      <c r="A17" s="2" t="s">
        <v>76</v>
      </c>
      <c r="B17" s="12" t="n">
        <f aca="false">Market!B14*B14</f>
        <v>0.5184</v>
      </c>
      <c r="C17" s="12" t="n">
        <f aca="false">Market!C14*C14</f>
        <v>2.467584</v>
      </c>
      <c r="D17" s="12" t="n">
        <f aca="false">Market!D14*D14</f>
        <v>7.34832</v>
      </c>
      <c r="E17" s="12" t="n">
        <f aca="false">Market!E14*E14</f>
        <v>15.168384</v>
      </c>
      <c r="F17" s="12" t="n">
        <f aca="false">Market!F14*F14</f>
        <v>27.216</v>
      </c>
    </row>
    <row r="18" customFormat="false" ht="15" hidden="false" customHeight="false" outlineLevel="0" collapsed="false">
      <c r="A18" s="3" t="s">
        <v>77</v>
      </c>
      <c r="B18" s="16" t="n">
        <f aca="false">SUM(B15:B17)</f>
        <v>1.132704</v>
      </c>
      <c r="C18" s="16" t="n">
        <f aca="false">SUM(C15:C17)</f>
        <v>5.207013504</v>
      </c>
      <c r="D18" s="16" t="n">
        <f aca="false">SUM(D15:D17)</f>
        <v>15.23621664</v>
      </c>
      <c r="E18" s="16" t="n">
        <f aca="false">SUM(E15:E17)</f>
        <v>31.254455232</v>
      </c>
      <c r="F18" s="16" t="n">
        <f aca="false">SUM(F15:F17)</f>
        <v>56.158704</v>
      </c>
    </row>
    <row r="19" customFormat="false" ht="15" hidden="false" customHeight="false" outlineLevel="0" collapsed="false">
      <c r="A19" s="2" t="s">
        <v>78</v>
      </c>
      <c r="B19" s="12" t="n">
        <f aca="false">Market!B11*B14</f>
        <v>1.51632</v>
      </c>
      <c r="C19" s="12" t="n">
        <f aca="false">Market!C11*C14</f>
        <v>7.93945152</v>
      </c>
      <c r="D19" s="12" t="n">
        <f aca="false">Market!D11*D14</f>
        <v>25.7926032</v>
      </c>
      <c r="E19" s="12" t="n">
        <f aca="false">Market!E11*E14</f>
        <v>57.67778016</v>
      </c>
      <c r="F19" s="12" t="n">
        <f aca="false">Market!F11*F14</f>
        <v>111.44952</v>
      </c>
    </row>
    <row r="20" customFormat="false" ht="15" hidden="false" customHeight="false" outlineLevel="0" collapsed="false">
      <c r="A20" s="2" t="s">
        <v>79</v>
      </c>
      <c r="B20" s="2" t="s">
        <v>80</v>
      </c>
      <c r="C20" s="17" t="n">
        <f aca="false">IF(B18=0,0,C18/B18-1)</f>
        <v>3.5969763539283</v>
      </c>
      <c r="D20" s="17" t="n">
        <f aca="false">IF(C18=0,0,D18/C18-1)</f>
        <v>1.92609508853695</v>
      </c>
      <c r="E20" s="17" t="n">
        <f aca="false">IF(D18=0,0,E18/D18-1)</f>
        <v>1.05132651828715</v>
      </c>
      <c r="F20" s="17" t="n">
        <f aca="false">IF(E18=0,0,F18/E18-1)</f>
        <v>0.796822359664797</v>
      </c>
    </row>
    <row r="22" customFormat="false" ht="15" hidden="false" customHeight="false" outlineLevel="0" collapsed="false">
      <c r="A22" s="14" t="s">
        <v>82</v>
      </c>
      <c r="B22" s="3" t="s">
        <v>19</v>
      </c>
      <c r="C22" s="3" t="s">
        <v>20</v>
      </c>
      <c r="D22" s="3" t="s">
        <v>21</v>
      </c>
      <c r="E22" s="3" t="s">
        <v>22</v>
      </c>
      <c r="F22" s="3" t="s">
        <v>23</v>
      </c>
    </row>
    <row r="23" customFormat="false" ht="15" hidden="false" customHeight="false" outlineLevel="0" collapsed="false">
      <c r="A23" s="3" t="s">
        <v>73</v>
      </c>
      <c r="B23" s="15" t="n">
        <v>0.008</v>
      </c>
      <c r="C23" s="15" t="n">
        <v>0.02</v>
      </c>
      <c r="D23" s="15" t="n">
        <v>0.04</v>
      </c>
      <c r="E23" s="15" t="n">
        <v>0.06</v>
      </c>
      <c r="F23" s="15" t="n">
        <v>0.08</v>
      </c>
    </row>
    <row r="24" customFormat="false" ht="15" hidden="false" customHeight="false" outlineLevel="0" collapsed="false">
      <c r="A24" s="2" t="s">
        <v>74</v>
      </c>
      <c r="B24" s="12" t="n">
        <f aca="false">Market!B12*B23</f>
        <v>0.808704</v>
      </c>
      <c r="C24" s="12" t="n">
        <f aca="false">Market!C12*C23</f>
        <v>3.96972576</v>
      </c>
      <c r="D24" s="12" t="n">
        <f aca="false">Market!D12*D23</f>
        <v>13.75605504</v>
      </c>
      <c r="E24" s="12" t="n">
        <f aca="false">Market!E12*E23</f>
        <v>31.46060736</v>
      </c>
      <c r="F24" s="12" t="n">
        <f aca="false">Market!F12*F23</f>
        <v>59.439744</v>
      </c>
    </row>
    <row r="25" customFormat="false" ht="15" hidden="false" customHeight="false" outlineLevel="0" collapsed="false">
      <c r="A25" s="2" t="s">
        <v>75</v>
      </c>
      <c r="B25" s="12" t="n">
        <f aca="false">Market!B13*B23</f>
        <v>0.82944</v>
      </c>
      <c r="C25" s="12" t="n">
        <f aca="false">Market!C13*C23</f>
        <v>2.878848</v>
      </c>
      <c r="D25" s="12" t="n">
        <f aca="false">Market!D13*D23</f>
        <v>7.278336</v>
      </c>
      <c r="E25" s="12" t="n">
        <f aca="false">Market!E13*E23</f>
        <v>12.410496</v>
      </c>
      <c r="F25" s="12" t="n">
        <f aca="false">Market!F13*F23</f>
        <v>17.7408</v>
      </c>
    </row>
    <row r="26" customFormat="false" ht="15" hidden="false" customHeight="false" outlineLevel="0" collapsed="false">
      <c r="A26" s="2" t="s">
        <v>76</v>
      </c>
      <c r="B26" s="12" t="n">
        <f aca="false">Market!B14*B23</f>
        <v>1.3824</v>
      </c>
      <c r="C26" s="12" t="n">
        <f aca="false">Market!C14*C23</f>
        <v>6.16896</v>
      </c>
      <c r="D26" s="12" t="n">
        <f aca="false">Market!D14*D23</f>
        <v>19.59552</v>
      </c>
      <c r="E26" s="12" t="n">
        <f aca="false">Market!E14*E23</f>
        <v>41.36832</v>
      </c>
      <c r="F26" s="12" t="n">
        <f aca="false">Market!F14*F23</f>
        <v>72.576</v>
      </c>
    </row>
    <row r="27" customFormat="false" ht="15" hidden="false" customHeight="false" outlineLevel="0" collapsed="false">
      <c r="A27" s="3" t="s">
        <v>77</v>
      </c>
      <c r="B27" s="16" t="n">
        <f aca="false">SUM(B24:B26)</f>
        <v>3.020544</v>
      </c>
      <c r="C27" s="16" t="n">
        <f aca="false">SUM(C24:C26)</f>
        <v>13.01753376</v>
      </c>
      <c r="D27" s="16" t="n">
        <f aca="false">SUM(D24:D26)</f>
        <v>40.62991104</v>
      </c>
      <c r="E27" s="16" t="n">
        <f aca="false">SUM(E24:E26)</f>
        <v>85.23942336</v>
      </c>
      <c r="F27" s="16" t="n">
        <f aca="false">SUM(F24:F26)</f>
        <v>149.756544</v>
      </c>
    </row>
    <row r="28" customFormat="false" ht="15" hidden="false" customHeight="false" outlineLevel="0" collapsed="false">
      <c r="A28" s="2" t="s">
        <v>78</v>
      </c>
      <c r="B28" s="12" t="n">
        <f aca="false">Market!B11*B23</f>
        <v>4.04352</v>
      </c>
      <c r="C28" s="12" t="n">
        <f aca="false">Market!C11*C23</f>
        <v>19.8486288</v>
      </c>
      <c r="D28" s="12" t="n">
        <f aca="false">Market!D11*D23</f>
        <v>68.7802752</v>
      </c>
      <c r="E28" s="12" t="n">
        <f aca="false">Market!E11*E23</f>
        <v>157.3030368</v>
      </c>
      <c r="F28" s="12" t="n">
        <f aca="false">Market!F11*F23</f>
        <v>297.19872</v>
      </c>
    </row>
    <row r="29" customFormat="false" ht="15" hidden="false" customHeight="false" outlineLevel="0" collapsed="false">
      <c r="A29" s="2" t="s">
        <v>79</v>
      </c>
      <c r="B29" s="2" t="s">
        <v>80</v>
      </c>
      <c r="C29" s="17" t="n">
        <f aca="false">IF(B27=0,0,C27/B27-1)</f>
        <v>3.30966533180778</v>
      </c>
      <c r="D29" s="17" t="n">
        <f aca="false">IF(C27=0,0,D27/C27-1)</f>
        <v>2.12116809443942</v>
      </c>
      <c r="E29" s="17" t="n">
        <f aca="false">IF(D27=0,0,E27/D27-1)</f>
        <v>1.09794757552095</v>
      </c>
      <c r="F29" s="17" t="n">
        <f aca="false">IF(E27=0,0,F27/E27-1)</f>
        <v>0.756892973894468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6"/>
    <col collapsed="false" customWidth="true" hidden="false" outlineLevel="0" max="3" min="3" style="0" width="78"/>
  </cols>
  <sheetData>
    <row r="1" customFormat="false" ht="16.15" hidden="false" customHeight="false" outlineLevel="0" collapsed="false">
      <c r="A1" s="1" t="s">
        <v>83</v>
      </c>
    </row>
    <row r="3" customFormat="false" ht="15" hidden="false" customHeight="false" outlineLevel="0" collapsed="false">
      <c r="A3" s="5" t="s">
        <v>84</v>
      </c>
    </row>
    <row r="4" customFormat="false" ht="15" hidden="false" customHeight="false" outlineLevel="0" collapsed="false">
      <c r="A4" s="3" t="s">
        <v>85</v>
      </c>
      <c r="B4" s="12" t="n">
        <f aca="false">Revenue!F18</f>
        <v>56.158704</v>
      </c>
    </row>
    <row r="5" customFormat="false" ht="15" hidden="false" customHeight="false" outlineLevel="0" collapsed="false">
      <c r="A5" s="3" t="s">
        <v>86</v>
      </c>
      <c r="B5" s="12" t="n">
        <f aca="false">B4*Assumptions!$B$21</f>
        <v>8.4238056</v>
      </c>
    </row>
    <row r="6" customFormat="false" ht="15" hidden="false" customHeight="false" outlineLevel="0" collapsed="false">
      <c r="A6" s="3" t="s">
        <v>87</v>
      </c>
      <c r="B6" s="13" t="n">
        <f aca="false">B4-B5</f>
        <v>47.7348984</v>
      </c>
    </row>
    <row r="7" customFormat="false" ht="15" hidden="false" customHeight="false" outlineLevel="0" collapsed="false">
      <c r="A7" s="3" t="s">
        <v>88</v>
      </c>
      <c r="B7" s="17" t="n">
        <f aca="false">IF(B4=0,0,B6/B4)</f>
        <v>0.85</v>
      </c>
    </row>
    <row r="9" customFormat="false" ht="15" hidden="false" customHeight="false" outlineLevel="0" collapsed="false">
      <c r="A9" s="5" t="s">
        <v>89</v>
      </c>
    </row>
    <row r="10" customFormat="false" ht="15" hidden="false" customHeight="false" outlineLevel="0" collapsed="false">
      <c r="A10" s="3" t="s">
        <v>90</v>
      </c>
      <c r="B10" s="6" t="n">
        <v>500</v>
      </c>
      <c r="C10" s="4" t="s">
        <v>91</v>
      </c>
    </row>
    <row r="11" customFormat="false" ht="15" hidden="false" customHeight="false" outlineLevel="0" collapsed="false">
      <c r="A11" s="3" t="s">
        <v>92</v>
      </c>
      <c r="B11" s="9" t="n">
        <v>175</v>
      </c>
      <c r="C11" s="4" t="s">
        <v>93</v>
      </c>
    </row>
    <row r="12" customFormat="false" ht="15" hidden="false" customHeight="false" outlineLevel="0" collapsed="false">
      <c r="A12" s="3" t="s">
        <v>94</v>
      </c>
      <c r="B12" s="18" t="n">
        <f aca="false">B10*B11*12</f>
        <v>1050000</v>
      </c>
    </row>
    <row r="13" customFormat="false" ht="15" hidden="false" customHeight="false" outlineLevel="0" collapsed="false">
      <c r="A13" s="3" t="s">
        <v>95</v>
      </c>
      <c r="B13" s="19" t="n">
        <f aca="false">B12*Assumptions!$B$14</f>
        <v>682500</v>
      </c>
    </row>
    <row r="14" customFormat="false" ht="15" hidden="false" customHeight="false" outlineLevel="0" collapsed="false">
      <c r="A14" s="3" t="s">
        <v>96</v>
      </c>
      <c r="B14" s="19" t="n">
        <f aca="false">B13*Assumptions!$B$15</f>
        <v>122850</v>
      </c>
    </row>
    <row r="15" customFormat="false" ht="15" hidden="false" customHeight="false" outlineLevel="0" collapsed="false">
      <c r="A15" s="3" t="s">
        <v>97</v>
      </c>
      <c r="B15" s="19" t="n">
        <f aca="false">B14*Assumptions!$B$16</f>
        <v>24570</v>
      </c>
    </row>
    <row r="16" customFormat="false" ht="15" hidden="false" customHeight="false" outlineLevel="0" collapsed="false">
      <c r="A16" s="3" t="s">
        <v>98</v>
      </c>
      <c r="B16" s="19" t="n">
        <f aca="false">B10*Assumptions!$B$19*12*Assumptions!$B$20</f>
        <v>36000</v>
      </c>
    </row>
    <row r="17" customFormat="false" ht="15" hidden="false" customHeight="false" outlineLevel="0" collapsed="false">
      <c r="A17" s="3" t="s">
        <v>99</v>
      </c>
      <c r="B17" s="18" t="n">
        <f aca="false">B15+B16</f>
        <v>60570</v>
      </c>
    </row>
    <row r="18" customFormat="false" ht="15" hidden="false" customHeight="false" outlineLevel="0" collapsed="false">
      <c r="A18" s="3" t="s">
        <v>100</v>
      </c>
      <c r="B18" s="18" t="n">
        <f aca="false">B14-B17+B16</f>
        <v>98280</v>
      </c>
      <c r="C18" s="4" t="s">
        <v>101</v>
      </c>
    </row>
    <row r="20" customFormat="false" ht="15" hidden="false" customHeight="false" outlineLevel="0" collapsed="false">
      <c r="A20" s="3" t="s">
        <v>102</v>
      </c>
      <c r="B20" s="20" t="n">
        <f aca="false">IF(B17=0,0,Revenue!F18*1000000/B17)</f>
        <v>927.170282317979</v>
      </c>
      <c r="C20" s="4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4"/>
    <col collapsed="false" customWidth="true" hidden="false" outlineLevel="0" max="3" min="3" style="0" width="66"/>
  </cols>
  <sheetData>
    <row r="1" customFormat="false" ht="16.15" hidden="false" customHeight="false" outlineLevel="0" collapsed="false">
      <c r="A1" s="1" t="s">
        <v>104</v>
      </c>
    </row>
    <row r="3" customFormat="false" ht="15" hidden="false" customHeight="false" outlineLevel="0" collapsed="false">
      <c r="A3" s="3" t="s">
        <v>105</v>
      </c>
      <c r="B3" s="3" t="s">
        <v>106</v>
      </c>
      <c r="C3" s="3" t="s">
        <v>107</v>
      </c>
    </row>
    <row r="4" customFormat="false" ht="15" hidden="false" customHeight="false" outlineLevel="0" collapsed="false">
      <c r="A4" s="2" t="s">
        <v>108</v>
      </c>
      <c r="B4" s="2" t="s">
        <v>109</v>
      </c>
      <c r="C4" s="4" t="s">
        <v>110</v>
      </c>
    </row>
    <row r="5" customFormat="false" ht="15" hidden="false" customHeight="false" outlineLevel="0" collapsed="false">
      <c r="A5" s="2" t="s">
        <v>111</v>
      </c>
      <c r="B5" s="2" t="s">
        <v>112</v>
      </c>
      <c r="C5" s="4" t="s">
        <v>113</v>
      </c>
    </row>
    <row r="6" customFormat="false" ht="15" hidden="false" customHeight="false" outlineLevel="0" collapsed="false">
      <c r="A6" s="2" t="s">
        <v>114</v>
      </c>
      <c r="B6" s="2" t="s">
        <v>115</v>
      </c>
      <c r="C6" s="4" t="s">
        <v>116</v>
      </c>
    </row>
    <row r="7" customFormat="false" ht="15" hidden="false" customHeight="false" outlineLevel="0" collapsed="false">
      <c r="A7" s="2" t="s">
        <v>117</v>
      </c>
      <c r="B7" s="2" t="s">
        <v>118</v>
      </c>
      <c r="C7" s="4" t="s">
        <v>119</v>
      </c>
    </row>
    <row r="8" customFormat="false" ht="15" hidden="false" customHeight="false" outlineLevel="0" collapsed="false">
      <c r="A8" s="2" t="s">
        <v>120</v>
      </c>
      <c r="B8" s="2" t="s">
        <v>121</v>
      </c>
      <c r="C8" s="4" t="s">
        <v>122</v>
      </c>
    </row>
    <row r="9" customFormat="false" ht="15" hidden="false" customHeight="false" outlineLevel="0" collapsed="false">
      <c r="A9" s="2" t="s">
        <v>123</v>
      </c>
      <c r="B9" s="2" t="s">
        <v>124</v>
      </c>
      <c r="C9" s="4" t="s">
        <v>125</v>
      </c>
    </row>
    <row r="10" customFormat="false" ht="15" hidden="false" customHeight="false" outlineLevel="0" collapsed="false">
      <c r="A10" s="2" t="s">
        <v>126</v>
      </c>
      <c r="B10" s="2" t="s">
        <v>127</v>
      </c>
      <c r="C10" s="4" t="s">
        <v>128</v>
      </c>
    </row>
    <row r="11" customFormat="false" ht="15" hidden="false" customHeight="false" outlineLevel="0" collapsed="false">
      <c r="A11" s="2" t="s">
        <v>129</v>
      </c>
      <c r="B11" s="2" t="s">
        <v>130</v>
      </c>
      <c r="C11" s="4" t="s">
        <v>131</v>
      </c>
    </row>
    <row r="12" customFormat="false" ht="15" hidden="false" customHeight="false" outlineLevel="0" collapsed="false">
      <c r="A12" s="2" t="s">
        <v>132</v>
      </c>
      <c r="B12" s="2" t="s">
        <v>133</v>
      </c>
      <c r="C12" s="4" t="s">
        <v>134</v>
      </c>
    </row>
    <row r="13" customFormat="false" ht="15" hidden="false" customHeight="false" outlineLevel="0" collapsed="false">
      <c r="A13" s="2" t="s">
        <v>135</v>
      </c>
      <c r="B13" s="2" t="s">
        <v>136</v>
      </c>
      <c r="C13" s="4" t="s">
        <v>137</v>
      </c>
    </row>
    <row r="14" customFormat="false" ht="15" hidden="false" customHeight="false" outlineLevel="0" collapsed="false">
      <c r="A14" s="2" t="s">
        <v>138</v>
      </c>
      <c r="B14" s="2" t="s">
        <v>139</v>
      </c>
      <c r="C14" s="4" t="s">
        <v>140</v>
      </c>
    </row>
    <row r="15" customFormat="false" ht="15" hidden="false" customHeight="false" outlineLevel="0" collapsed="false">
      <c r="A15" s="2" t="s">
        <v>141</v>
      </c>
      <c r="B15" s="2" t="s">
        <v>142</v>
      </c>
      <c r="C15" s="4" t="s">
        <v>143</v>
      </c>
    </row>
    <row r="16" customFormat="false" ht="15" hidden="false" customHeight="false" outlineLevel="0" collapsed="false">
      <c r="A16" s="2" t="s">
        <v>144</v>
      </c>
      <c r="B16" s="2" t="s">
        <v>145</v>
      </c>
      <c r="C16" s="4" t="s">
        <v>146</v>
      </c>
    </row>
    <row r="17" customFormat="false" ht="15" hidden="false" customHeight="false" outlineLevel="0" collapsed="false">
      <c r="A17" s="2" t="s">
        <v>147</v>
      </c>
      <c r="B17" s="2" t="s">
        <v>148</v>
      </c>
      <c r="C17" s="4" t="s">
        <v>149</v>
      </c>
    </row>
    <row r="18" customFormat="false" ht="15" hidden="false" customHeight="false" outlineLevel="0" collapsed="false">
      <c r="A18" s="2" t="s">
        <v>150</v>
      </c>
      <c r="B18" s="2" t="s">
        <v>151</v>
      </c>
      <c r="C18" s="4" t="s">
        <v>152</v>
      </c>
    </row>
    <row r="19" customFormat="false" ht="15" hidden="false" customHeight="false" outlineLevel="0" collapsed="false">
      <c r="A19" s="2" t="s">
        <v>153</v>
      </c>
      <c r="B19" s="2" t="s">
        <v>154</v>
      </c>
      <c r="C19" s="4" t="s">
        <v>155</v>
      </c>
    </row>
    <row r="20" customFormat="false" ht="15" hidden="false" customHeight="false" outlineLevel="0" collapsed="false">
      <c r="A20" s="2" t="s">
        <v>156</v>
      </c>
      <c r="B20" s="2" t="s">
        <v>157</v>
      </c>
      <c r="C20" s="4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2026-07-29T03:51:23Z</dcterms:created>
  <dc:creator>openpyxl</dc:creator>
  <dc:description/>
  <dc:language>en-US</dc:language>
  <cp:lastModifiedBy/>
  <dcterms:modified xsi:type="dcterms:W3CDTF">2026-07-29T03:51:23Z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